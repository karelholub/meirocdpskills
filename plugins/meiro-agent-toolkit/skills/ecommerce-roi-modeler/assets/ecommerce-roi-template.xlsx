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70672c7f2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cf6d8dbbbc1643b8"/>
    <x:sheet xmlns:r="http://schemas.openxmlformats.org/officeDocument/2006/relationships" name="Use Cases" sheetId="2" r:id="R2990cd9e53d04ba8"/>
    <x:sheet xmlns:r="http://schemas.openxmlformats.org/officeDocument/2006/relationships" name="Summary" sheetId="3" r:id="R62db15c80eed4698"/>
    <x:sheet xmlns:r="http://schemas.openxmlformats.org/officeDocument/2006/relationships" name="Checks" sheetId="4" r:id="R1cc70f040e334d21"/>
    <x:sheet xmlns:r="http://schemas.openxmlformats.org/officeDocument/2006/relationships" name="Sources" sheetId="5" r:id="R193bf5c88d49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$#,##0;[Red]($#,##0);-"/>
    <x:numFmt numFmtId="202" formatCode="#,##0;[Red](#,##0);-"/>
    <x:numFmt numFmtId="203" formatCode="0.0"/>
    <x:numFmt numFmtId="204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b/>
      <x:sz val="11"/>
      <x:color rgb="FF1111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557F"/>
      </x:patternFill>
    </x:fill>
    <x:fill>
      <x:patternFill patternType="solid">
        <x:fgColor rgb="FFFFF2CC"/>
      </x:patternFill>
    </x:fill>
    <x:fill>
      <x:patternFill patternType="solid">
        <x:fgColor rgb="FFDCEAF5"/>
      </x:patternFill>
    </x:fill>
    <x:fill>
      <x:patternFill patternType="solid">
        <x:fgColor rgb="FF337DB8"/>
      </x:patternFill>
    </x:fill>
    <x:fill>
      <x:patternFill patternType="solid">
        <x:fgColor rgb="FFE2F0D9"/>
      </x:patternFill>
    </x:fill>
  </x:fills>
  <x:borders count="14">
    <x:border/>
    <x:border>
      <x:right style="thin">
        <x:color rgb="FFC9D7E3"/>
      </x:right>
    </x:border>
    <x:border>
      <x:left style="thin">
        <x:color rgb="FFC9D7E3"/>
      </x:left>
      <x:right style="thin">
        <x:color rgb="FFC9D7E3"/>
      </x:right>
    </x:border>
    <x:border>
      <x:left style="thin">
        <x:color rgb="FFC9D7E3"/>
      </x:left>
    </x:border>
    <x:border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bottom style="thin">
        <x:color rgb="FFE5E5E5"/>
      </x:bottom>
    </x:border>
    <x:border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left style="thin">
        <x:color rgb="FFE5E5E5"/>
      </x:left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left style="thin">
        <x:color rgb="FFE5E5E5"/>
      </x:left>
      <x:top style="thin">
        <x:color rgb="FFE5E5E5"/>
      </x:top>
      <x:bottom style="thin">
        <x:color rgb="FFE5E5E5"/>
      </x:bottom>
    </x:border>
    <x:border>
      <x:right style="thin">
        <x:color rgb="FFE5E5E5"/>
      </x:right>
      <x:top style="thin">
        <x:color rgb="FFE5E5E5"/>
      </x:top>
    </x:border>
    <x:border>
      <x:left style="thin">
        <x:color rgb="FFE5E5E5"/>
      </x:left>
      <x:right style="thin">
        <x:color rgb="FFE5E5E5"/>
      </x:right>
      <x:top style="thin">
        <x:color rgb="FFE5E5E5"/>
      </x:top>
    </x:border>
    <x:border>
      <x:left style="thin">
        <x:color rgb="FFE5E5E5"/>
      </x:left>
      <x:top style="thin">
        <x:color rgb="FFE5E5E5"/>
      </x:top>
    </x:border>
    <x:border>
      <x:bottom style="double">
        <x:color rgb="FF24557F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201" fontId="6" fillId="3" borderId="0" xfId="0" applyNumberFormat="1" applyFont="1" applyFill="1" applyBorder="1"/>
    <x:xf numFmtId="202" fontId="6" fillId="3" borderId="0" xfId="0" applyNumberFormat="1" applyFont="1" applyFill="1" applyBorder="1"/>
    <x:xf numFmtId="202" fontId="5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1" fontId="5" fillId="3" borderId="0" xfId="0" applyNumberFormat="1" applyFont="1" applyFill="1" applyBorder="1" applyAlignment="1">
      <x:alignment wrapText="1"/>
    </x:xf>
    <x:xf numFmtId="200" fontId="5" fillId="3" borderId="0" xfId="0" applyNumberFormat="1" applyFont="1" applyFill="1" applyBorder="1" applyAlignment="1">
      <x:alignment wrapText="1"/>
    </x:xf>
    <x:xf numFmtId="202" fontId="6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202" fontId="5" fillId="3" borderId="0" xfId="0" applyNumberFormat="1" applyFont="1" applyFill="1" applyBorder="1" applyAlignment="1">
      <x:alignment wrapText="1"/>
    </x:xf>
    <x:xf numFmtId="201" fontId="6" fillId="3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201" fontId="5" fillId="3" borderId="8" xfId="0" applyNumberFormat="1" applyFont="1" applyFill="1" applyBorder="1" applyAlignment="1">
      <x:alignment wrapText="1"/>
    </x:xf>
    <x:xf numFmtId="200" fontId="5" fillId="3" borderId="8" xfId="0" applyNumberFormat="1" applyFont="1" applyFill="1" applyBorder="1" applyAlignment="1">
      <x:alignment wrapText="1"/>
    </x:xf>
    <x:xf numFmtId="202" fontId="6" fillId="3" borderId="8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202" fontId="5" fillId="3" borderId="8" xfId="0" applyNumberFormat="1" applyFont="1" applyFill="1" applyBorder="1" applyAlignment="1">
      <x:alignment wrapText="1"/>
    </x:xf>
    <x:xf numFmtId="201" fontId="6" fillId="3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5" fillId="3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1" fontId="0" fillId="0" borderId="0" xfId="0" applyNumberFormat="1" applyFont="1" applyFill="1" applyBorder="1"/>
    <x:xf numFmtId="201" fontId="3" fillId="0" borderId="13" xfId="0" applyNumberFormat="1" applyFont="1" applyFill="1" applyBorder="1"/>
    <x:xf numFmtId="20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201" fontId="3" fillId="0" borderId="13" xfId="0" applyNumberFormat="1" applyFont="1" applyFill="1" applyBorder="1" applyAlignment="1">
      <x:alignment wrapText="1"/>
    </x:xf>
    <x:xf numFmtId="200" fontId="0" fillId="3" borderId="8" xfId="0" applyNumberFormat="1" applyFont="1" applyFill="1" applyBorder="1" applyAlignment="1">
      <x:alignment wrapText="1"/>
    </x:xf>
    <x:xf numFmtId="201" fontId="0" fillId="3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201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201" fontId="3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201" fontId="3" fillId="0" borderId="8" xfId="0" applyNumberFormat="1" applyFont="1" applyFill="1" applyBorder="1" applyAlignment="1">
      <x:alignment wrapText="1"/>
    </x:xf>
    <x:xf numFmtId="201" fontId="3" fillId="0" borderId="9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e2d534e7040a9" /><Relationship Type="http://schemas.openxmlformats.org/officeDocument/2006/relationships/theme" Target="/xl/theme/theme1.xml" Id="R6ee96ff9614e413f" /><Relationship Type="http://schemas.openxmlformats.org/officeDocument/2006/relationships/sharedStrings" Target="/xl/sharedStrings.xml" Id="Red5a66c50ba1481c" /><Relationship Type="http://schemas.openxmlformats.org/officeDocument/2006/relationships/worksheet" Target="/xl/worksheets/sheet1.xml" Id="Rcf6d8dbbbc1643b8" /><Relationship Type="http://schemas.openxmlformats.org/officeDocument/2006/relationships/worksheet" Target="/xl/worksheets/sheet2.xml" Id="R2990cd9e53d04ba8" /><Relationship Type="http://schemas.openxmlformats.org/officeDocument/2006/relationships/worksheet" Target="/xl/worksheets/sheet3.xml" Id="R62db15c80eed4698" /><Relationship Type="http://schemas.openxmlformats.org/officeDocument/2006/relationships/worksheet" Target="/xl/worksheets/sheet4.xml" Id="R1cc70f040e334d21" /><Relationship Type="http://schemas.openxmlformats.org/officeDocument/2006/relationships/worksheet" Target="/xl/worksheets/sheet5.xml" Id="R193bf5c88d494f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00558e160d44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net contribution by scenario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Conservative</c:v>
          </c:tx>
          <c:cat>
            <c:strRef>
              <c:f>'Summary'!$H$5</c:f>
              <c:strCache>
                <c:ptCount val="0"/>
              </c:strCache>
            </c:strRef>
          </c:cat>
          <c:val>
            <c:numRef>
              <c:f>'Summary'!$I$5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Realistic</c:v>
          </c:tx>
          <c:cat>
            <c:strRef>
              <c:f>'Summary'!$H$5</c:f>
              <c:strCache>
                <c:ptCount val="0"/>
              </c:strCache>
            </c:strRef>
          </c:cat>
          <c:val>
            <c:numRef>
              <c:f>'Summary'!$J$5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Optimistic</c:v>
          </c:tx>
          <c:cat>
            <c:strRef>
              <c:f>'Summary'!$H$5</c:f>
              <c:strCache>
                <c:ptCount val="0"/>
              </c:strCache>
            </c:strRef>
          </c:cat>
          <c:val>
            <c:numRef>
              <c:f>'Summary'!$K$5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;[Red]($#,##0);-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00558e160d44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cb9fcd0382642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0" hidden="0" customWidth="1"/>
    <x:col min="5" max="5" width="48" hidden="0" customWidth="1"/>
    <x:col min="6" max="6" width="12" hidden="0" customWidth="1"/>
  </x:cols>
  <x:sheetData>
    <x:row r="1" ht="30" customHeight="1">
      <x:c r="A1" s="34" t="str">
        <x:v>Ecommerce ROI Model — Assumptions</x:v>
      </x:c>
      <x:c r="B1" s="35"/>
      <x:c r="C1" s="35"/>
      <x:c r="D1" s="35"/>
      <x:c r="E1" s="35"/>
      <x:c r="F1" s="36"/>
    </x:row>
    <x:row r="2">
      <x:c r="A2" s="37" t="str">
        <x:v>Illustrative until every required financial input is confirmed by the client. Website evidence may establish applicability, not financial performance.</x:v>
      </x:c>
      <x:c r="B2" s="38"/>
      <x:c r="C2" s="38"/>
      <x:c r="D2" s="38"/>
      <x:c r="E2" s="38"/>
      <x:c r="F2" s="39"/>
    </x:row>
    <x:row r="3">
      <x:c r="A3" s="40"/>
      <x:c r="B3" s="38"/>
      <x:c r="C3" s="38"/>
      <x:c r="D3" s="38"/>
      <x:c r="E3" s="38"/>
      <x:c r="F3" s="39"/>
    </x:row>
    <x:row r="4">
      <x:c r="A4" s="41" t="str">
        <x:v>MODEL STATUS</x:v>
      </x:c>
      <x:c r="B4" s="42" t="str">
        <x:f>IF(COUNTIFS(F6:F42,"Yes",D6:D42,"&lt;&gt;Client-confirmed")=0,"CLIENT-CONFIRMED","ILLUSTRATIVE")</x:f>
        <x:v>ILLUSTRATIVE</x:v>
      </x:c>
      <x:c r="C4" s="38"/>
      <x:c r="D4" s="38"/>
      <x:c r="E4" s="38"/>
      <x:c r="F4" s="39"/>
    </x:row>
    <x:row r="5">
      <x:c r="A5" s="43" t="str">
        <x:v>Assumption</x:v>
      </x:c>
      <x:c r="B5" s="44" t="str">
        <x:v>Value</x:v>
      </x:c>
      <x:c r="C5" s="44" t="str">
        <x:v>Unit</x:v>
      </x:c>
      <x:c r="D5" s="44" t="str">
        <x:v>Evidence status</x:v>
      </x:c>
      <x:c r="E5" s="44" t="str">
        <x:v>Source / note</x:v>
      </x:c>
      <x:c r="F5" s="45" t="str">
        <x:v>Required?</x:v>
      </x:c>
    </x:row>
    <x:row r="6">
      <x:c r="A6" s="40" t="str">
        <x:v>Annual ecommerce revenue</x:v>
      </x:c>
      <x:c r="B6" s="46" t="n">
        <x:v>10000000</x:v>
      </x:c>
      <x:c r="C6" s="38" t="str">
        <x:v>currency/year</x:v>
      </x:c>
      <x:c r="D6" s="38" t="str">
        <x:v>Illustrative</x:v>
      </x:c>
      <x:c r="E6" s="38" t="str">
        <x:v>Client finance — latest closed 12 months</x:v>
      </x:c>
      <x:c r="F6" s="39" t="str">
        <x:v>Yes</x:v>
      </x:c>
    </x:row>
    <x:row r="7">
      <x:c r="A7" s="40" t="str">
        <x:v>Gross margin</x:v>
      </x:c>
      <x:c r="B7" s="47" t="n">
        <x:v>0.55</x:v>
      </x:c>
      <x:c r="C7" s="38" t="str">
        <x:v>%</x:v>
      </x:c>
      <x:c r="D7" s="38" t="str">
        <x:v>Illustrative</x:v>
      </x:c>
      <x:c r="E7" s="38" t="str">
        <x:v>Client finance; use contribution margin if available</x:v>
      </x:c>
      <x:c r="F7" s="39" t="str">
        <x:v>Yes</x:v>
      </x:c>
    </x:row>
    <x:row r="8">
      <x:c r="A8" s="40" t="str">
        <x:v>Average order value</x:v>
      </x:c>
      <x:c r="B8" s="46" t="n">
        <x:v>75</x:v>
      </x:c>
      <x:c r="C8" s="38" t="str">
        <x:v>currency/order</x:v>
      </x:c>
      <x:c r="D8" s="38" t="str">
        <x:v>Illustrative</x:v>
      </x:c>
      <x:c r="E8" s="38" t="str">
        <x:v>Client commerce analytics</x:v>
      </x:c>
      <x:c r="F8" s="39" t="str">
        <x:v>Yes</x:v>
      </x:c>
    </x:row>
    <x:row r="9">
      <x:c r="A9" s="40" t="str">
        <x:v>Annual orders</x:v>
      </x:c>
      <x:c r="B9" s="48" t="n">
        <x:f>IFERROR(B6/B8,0)</x:f>
        <x:v>133333.33333333334</x:v>
      </x:c>
      <x:c r="C9" s="38" t="str">
        <x:v>orders/year</x:v>
      </x:c>
      <x:c r="D9" s="38" t="str">
        <x:v>Derived</x:v>
      </x:c>
      <x:c r="E9" s="38" t="str">
        <x:v>Revenue ÷ AOV</x:v>
      </x:c>
      <x:c r="F9" s="39" t="str">
        <x:v>No</x:v>
      </x:c>
    </x:row>
    <x:row r="10">
      <x:c r="A10" s="40" t="str">
        <x:v>Purchase frequency</x:v>
      </x:c>
      <x:c r="B10" s="49" t="n">
        <x:v>2</x:v>
      </x:c>
      <x:c r="C10" s="38" t="str">
        <x:v>orders/customer/year</x:v>
      </x:c>
      <x:c r="D10" s="38" t="str">
        <x:v>Illustrative</x:v>
      </x:c>
      <x:c r="E10" s="38" t="str">
        <x:v>Orders ÷ active customers</x:v>
      </x:c>
      <x:c r="F10" s="39" t="str">
        <x:v>Yes</x:v>
      </x:c>
    </x:row>
    <x:row r="11">
      <x:c r="A11" s="40" t="str">
        <x:v>Active customers</x:v>
      </x:c>
      <x:c r="B11" s="48" t="n">
        <x:f>IFERROR(B9/B10,0)</x:f>
        <x:v>66666.66666666667</x:v>
      </x:c>
      <x:c r="C11" s="38" t="str">
        <x:v>customers</x:v>
      </x:c>
      <x:c r="D11" s="38" t="str">
        <x:v>Derived</x:v>
      </x:c>
      <x:c r="E11" s="38" t="str">
        <x:v>Orders ÷ purchase frequency</x:v>
      </x:c>
      <x:c r="F11" s="39" t="str">
        <x:v>No</x:v>
      </x:c>
    </x:row>
    <x:row r="12">
      <x:c r="A12" s="40" t="str">
        <x:v>Web conversion rate</x:v>
      </x:c>
      <x:c r="B12" s="47" t="n">
        <x:v>0.02</x:v>
      </x:c>
      <x:c r="C12" s="38" t="str">
        <x:v>%</x:v>
      </x:c>
      <x:c r="D12" s="38" t="str">
        <x:v>Illustrative</x:v>
      </x:c>
      <x:c r="E12" s="38" t="str">
        <x:v>Client analytics</x:v>
      </x:c>
      <x:c r="F12" s="39" t="str">
        <x:v>Yes</x:v>
      </x:c>
    </x:row>
    <x:row r="13">
      <x:c r="A13" s="40" t="str">
        <x:v>Annual sessions</x:v>
      </x:c>
      <x:c r="B13" s="48" t="n">
        <x:f>IFERROR(B9/B12,0)</x:f>
        <x:v>6666666.666666667</x:v>
      </x:c>
      <x:c r="C13" s="38" t="str">
        <x:v>sessions/year</x:v>
      </x:c>
      <x:c r="D13" s="38" t="str">
        <x:v>Derived</x:v>
      </x:c>
      <x:c r="E13" s="38" t="str">
        <x:v>Orders ÷ conversion rate</x:v>
      </x:c>
      <x:c r="F13" s="39" t="str">
        <x:v>No</x:v>
      </x:c>
    </x:row>
    <x:row r="14">
      <x:c r="A14" s="40" t="str">
        <x:v>Consented email subscribers</x:v>
      </x:c>
      <x:c r="B14" s="50" t="n">
        <x:v>46667</x:v>
      </x:c>
      <x:c r="C14" s="38" t="str">
        <x:v>profiles</x:v>
      </x:c>
      <x:c r="D14" s="38" t="str">
        <x:v>Illustrative</x:v>
      </x:c>
      <x:c r="E14" s="38" t="str">
        <x:v>Client ESP/CDP</x:v>
      </x:c>
      <x:c r="F14" s="39" t="str">
        <x:v>Yes</x:v>
      </x:c>
    </x:row>
    <x:row r="15">
      <x:c r="A15" s="40" t="str">
        <x:v>Email share of revenue</x:v>
      </x:c>
      <x:c r="B15" s="47" t="n">
        <x:v>0.1</x:v>
      </x:c>
      <x:c r="C15" s="38" t="str">
        <x:v>%</x:v>
      </x:c>
      <x:c r="D15" s="38" t="str">
        <x:v>Illustrative</x:v>
      </x:c>
      <x:c r="E15" s="38" t="str">
        <x:v>Client ESP attribution</x:v>
      </x:c>
      <x:c r="F15" s="39" t="str">
        <x:v>Yes</x:v>
      </x:c>
    </x:row>
    <x:row r="16">
      <x:c r="A16" s="40" t="str">
        <x:v>Email-addressable revenue</x:v>
      </x:c>
      <x:c r="B16" s="51" t="n">
        <x:f>B6*B15</x:f>
        <x:v>1000000</x:v>
      </x:c>
      <x:c r="C16" s="38" t="str">
        <x:v>currency/year</x:v>
      </x:c>
      <x:c r="D16" s="38" t="str">
        <x:v>Derived</x:v>
      </x:c>
      <x:c r="E16" s="38" t="str">
        <x:v>Revenue × email share</x:v>
      </x:c>
      <x:c r="F16" s="39" t="str">
        <x:v>No</x:v>
      </x:c>
    </x:row>
    <x:row r="17">
      <x:c r="A17" s="40" t="str">
        <x:v>Paid acquisition share</x:v>
      </x:c>
      <x:c r="B17" s="47" t="n">
        <x:v>0.6</x:v>
      </x:c>
      <x:c r="C17" s="38" t="str">
        <x:v>%</x:v>
      </x:c>
      <x:c r="D17" s="38" t="str">
        <x:v>Illustrative</x:v>
      </x:c>
      <x:c r="E17" s="38" t="str">
        <x:v>Client paid-media reporting</x:v>
      </x:c>
      <x:c r="F17" s="39" t="str">
        <x:v>Yes</x:v>
      </x:c>
    </x:row>
    <x:row r="18">
      <x:c r="A18" s="40" t="str">
        <x:v>New-customer revenue share</x:v>
      </x:c>
      <x:c r="B18" s="47" t="n">
        <x:v>0.35</x:v>
      </x:c>
      <x:c r="C18" s="38" t="str">
        <x:v>%</x:v>
      </x:c>
      <x:c r="D18" s="38" t="str">
        <x:v>Illustrative</x:v>
      </x:c>
      <x:c r="E18" s="38" t="str">
        <x:v>Client commerce reporting</x:v>
      </x:c>
      <x:c r="F18" s="39" t="str">
        <x:v>Yes</x:v>
      </x:c>
    </x:row>
    <x:row r="19">
      <x:c r="A19" s="40" t="str">
        <x:v>Paid-acquisition revenue</x:v>
      </x:c>
      <x:c r="B19" s="51" t="n">
        <x:f>B6*B17*B18</x:f>
        <x:v>2100000</x:v>
      </x:c>
      <x:c r="C19" s="38" t="str">
        <x:v>currency/year</x:v>
      </x:c>
      <x:c r="D19" s="38" t="str">
        <x:v>Derived</x:v>
      </x:c>
      <x:c r="E19" s="38" t="str">
        <x:v>Revenue × paid share × new-customer share</x:v>
      </x:c>
      <x:c r="F19" s="39" t="str">
        <x:v>No</x:v>
      </x:c>
    </x:row>
    <x:row r="20">
      <x:c r="A20" s="40" t="str">
        <x:v>Cart abandonment rate</x:v>
      </x:c>
      <x:c r="B20" s="47" t="n">
        <x:v>0.7</x:v>
      </x:c>
      <x:c r="C20" s="38" t="str">
        <x:v>%</x:v>
      </x:c>
      <x:c r="D20" s="38" t="str">
        <x:v>Illustrative</x:v>
      </x:c>
      <x:c r="E20" s="38" t="str">
        <x:v>Client analytics; benchmark only if unavailable</x:v>
      </x:c>
      <x:c r="F20" s="39" t="str">
        <x:v>Yes</x:v>
      </x:c>
    </x:row>
    <x:row r="21">
      <x:c r="A21" s="40" t="str">
        <x:v>Annual abandoned-cart value</x:v>
      </x:c>
      <x:c r="B21" s="46" t="n">
        <x:v>5000000</x:v>
      </x:c>
      <x:c r="C21" s="38" t="str">
        <x:v>currency/year</x:v>
      </x:c>
      <x:c r="D21" s="38" t="str">
        <x:v>Illustrative</x:v>
      </x:c>
      <x:c r="E21" s="38" t="str">
        <x:v>Preferred: checkout/cart telemetry, not total revenue</x:v>
      </x:c>
      <x:c r="F21" s="39" t="str">
        <x:v>Yes</x:v>
      </x:c>
    </x:row>
    <x:row r="22">
      <x:c r="A22" s="40" t="str">
        <x:v>Discount spend as % of revenue</x:v>
      </x:c>
      <x:c r="B22" s="47" t="n">
        <x:v>0.08</x:v>
      </x:c>
      <x:c r="C22" s="38" t="str">
        <x:v>%</x:v>
      </x:c>
      <x:c r="D22" s="38" t="str">
        <x:v>Illustrative</x:v>
      </x:c>
      <x:c r="E22" s="38" t="str">
        <x:v>Client marketing/finance</x:v>
      </x:c>
      <x:c r="F22" s="39" t="str">
        <x:v>Yes</x:v>
      </x:c>
    </x:row>
    <x:row r="23">
      <x:c r="A23" s="40" t="str">
        <x:v>Annual discount spend</x:v>
      </x:c>
      <x:c r="B23" s="51" t="n">
        <x:f>B6*B22</x:f>
        <x:v>800000</x:v>
      </x:c>
      <x:c r="C23" s="38" t="str">
        <x:v>currency/year</x:v>
      </x:c>
      <x:c r="D23" s="38" t="str">
        <x:v>Derived</x:v>
      </x:c>
      <x:c r="E23" s="38" t="str">
        <x:v>Revenue × discount spend %</x:v>
      </x:c>
      <x:c r="F23" s="39" t="str">
        <x:v>No</x:v>
      </x:c>
    </x:row>
    <x:row r="24">
      <x:c r="A24" s="40" t="str">
        <x:v>Annual return handling cost</x:v>
      </x:c>
      <x:c r="B24" s="46" t="n">
        <x:v>225000</x:v>
      </x:c>
      <x:c r="C24" s="38" t="str">
        <x:v>currency/year</x:v>
      </x:c>
      <x:c r="D24" s="38" t="str">
        <x:v>Illustrative</x:v>
      </x:c>
      <x:c r="E24" s="38" t="str">
        <x:v>Returns × handling/logistics/write-off cost</x:v>
      </x:c>
      <x:c r="F24" s="39" t="str">
        <x:v>Yes</x:v>
      </x:c>
    </x:row>
    <x:row r="25">
      <x:c r="A25" s="40" t="str">
        <x:v>Recommendation-eligible revenue share</x:v>
      </x:c>
      <x:c r="B25" s="47" t="n">
        <x:v>0.7</x:v>
      </x:c>
      <x:c r="C25" s="38" t="str">
        <x:v>%</x:v>
      </x:c>
      <x:c r="D25" s="38" t="str">
        <x:v>Illustrative</x:v>
      </x:c>
      <x:c r="E25" s="38" t="str">
        <x:v>Eligible catalog/session scope</x:v>
      </x:c>
      <x:c r="F25" s="39" t="str">
        <x:v>Yes</x:v>
      </x:c>
    </x:row>
    <x:row r="26">
      <x:c r="A26" s="40" t="str">
        <x:v>Recommendation-eligible revenue</x:v>
      </x:c>
      <x:c r="B26" s="51" t="n">
        <x:f>B6*B25</x:f>
        <x:v>7000000</x:v>
      </x:c>
      <x:c r="C26" s="38" t="str">
        <x:v>currency/year</x:v>
      </x:c>
      <x:c r="D26" s="38" t="str">
        <x:v>Derived</x:v>
      </x:c>
      <x:c r="E26" s="38" t="str">
        <x:v>Revenue × eligible share</x:v>
      </x:c>
      <x:c r="F26" s="39" t="str">
        <x:v>No</x:v>
      </x:c>
    </x:row>
    <x:row r="27">
      <x:c r="A27" s="40" t="str">
        <x:v>Premium-segment revenue share</x:v>
      </x:c>
      <x:c r="B27" s="47" t="n">
        <x:v>0.3</x:v>
      </x:c>
      <x:c r="C27" s="38" t="str">
        <x:v>%</x:v>
      </x:c>
      <x:c r="D27" s="38" t="str">
        <x:v>Illustrative</x:v>
      </x:c>
      <x:c r="E27" s="38" t="str">
        <x:v>Client segment sizing</x:v>
      </x:c>
      <x:c r="F27" s="39" t="str">
        <x:v>Yes</x:v>
      </x:c>
    </x:row>
    <x:row r="28">
      <x:c r="A28" s="40" t="str">
        <x:v>Premium-segment addressable revenue</x:v>
      </x:c>
      <x:c r="B28" s="51" t="n">
        <x:f>B6*B27</x:f>
        <x:v>3000000</x:v>
      </x:c>
      <x:c r="C28" s="38" t="str">
        <x:v>currency/year</x:v>
      </x:c>
      <x:c r="D28" s="38" t="str">
        <x:v>Derived</x:v>
      </x:c>
      <x:c r="E28" s="38" t="str">
        <x:v>Revenue × premium share</x:v>
      </x:c>
      <x:c r="F28" s="39" t="str">
        <x:v>No</x:v>
      </x:c>
    </x:row>
    <x:row r="29">
      <x:c r="A29" s="40" t="str">
        <x:v>Exit-eligible revenue share</x:v>
      </x:c>
      <x:c r="B29" s="47" t="n">
        <x:v>0.5</x:v>
      </x:c>
      <x:c r="C29" s="38" t="str">
        <x:v>%</x:v>
      </x:c>
      <x:c r="D29" s="38" t="str">
        <x:v>Illustrative</x:v>
      </x:c>
      <x:c r="E29" s="38" t="str">
        <x:v>Eligible sessions/pages</x:v>
      </x:c>
      <x:c r="F29" s="39" t="str">
        <x:v>Yes</x:v>
      </x:c>
    </x:row>
    <x:row r="30">
      <x:c r="A30" s="40" t="str">
        <x:v>Exit-eligible addressable revenue</x:v>
      </x:c>
      <x:c r="B30" s="51" t="n">
        <x:f>B6*B29</x:f>
        <x:v>5000000</x:v>
      </x:c>
      <x:c r="C30" s="38" t="str">
        <x:v>currency/year</x:v>
      </x:c>
      <x:c r="D30" s="38" t="str">
        <x:v>Derived</x:v>
      </x:c>
      <x:c r="E30" s="38" t="str">
        <x:v>Revenue × exit-eligible share</x:v>
      </x:c>
      <x:c r="F30" s="39" t="str">
        <x:v>No</x:v>
      </x:c>
    </x:row>
    <x:row r="31">
      <x:c r="A31" s="40" t="str">
        <x:v>Conservative portfolio overlap</x:v>
      </x:c>
      <x:c r="B31" s="47" t="n">
        <x:v>0.25</x:v>
      </x:c>
      <x:c r="C31" s="38" t="str">
        <x:v>%</x:v>
      </x:c>
      <x:c r="D31" s="38" t="str">
        <x:v>Benchmark</x:v>
      </x:c>
      <x:c r="E31" s="38" t="str">
        <x:v>Replace with use-case interaction review</x:v>
      </x:c>
      <x:c r="F31" s="39" t="str">
        <x:v>No</x:v>
      </x:c>
    </x:row>
    <x:row r="32">
      <x:c r="A32" s="40" t="str">
        <x:v>Realistic portfolio overlap</x:v>
      </x:c>
      <x:c r="B32" s="47" t="n">
        <x:v>0.15</x:v>
      </x:c>
      <x:c r="C32" s="38" t="str">
        <x:v>%</x:v>
      </x:c>
      <x:c r="D32" s="38" t="str">
        <x:v>Benchmark</x:v>
      </x:c>
      <x:c r="E32" s="38" t="str">
        <x:v>Replace with use-case interaction review</x:v>
      </x:c>
      <x:c r="F32" s="39" t="str">
        <x:v>No</x:v>
      </x:c>
    </x:row>
    <x:row r="33">
      <x:c r="A33" s="40" t="str">
        <x:v>Optimistic portfolio overlap</x:v>
      </x:c>
      <x:c r="B33" s="47" t="n">
        <x:v>0.1</x:v>
      </x:c>
      <x:c r="C33" s="38" t="str">
        <x:v>%</x:v>
      </x:c>
      <x:c r="D33" s="38" t="str">
        <x:v>Benchmark</x:v>
      </x:c>
      <x:c r="E33" s="38" t="str">
        <x:v>Replace with use-case interaction review</x:v>
      </x:c>
      <x:c r="F33" s="39" t="str">
        <x:v>No</x:v>
      </x:c>
    </x:row>
    <x:row r="34">
      <x:c r="A34" s="40" t="str">
        <x:v>Year 1 adoption ramp</x:v>
      </x:c>
      <x:c r="B34" s="47" t="n">
        <x:v>0.5</x:v>
      </x:c>
      <x:c r="C34" s="38" t="str">
        <x:v>%</x:v>
      </x:c>
      <x:c r="D34" s="38" t="str">
        <x:v>Benchmark</x:v>
      </x:c>
      <x:c r="E34" s="38" t="str">
        <x:v>Confirm against implementation plan</x:v>
      </x:c>
      <x:c r="F34" s="39" t="str">
        <x:v>Yes</x:v>
      </x:c>
    </x:row>
    <x:row r="35">
      <x:c r="A35" s="40" t="str">
        <x:v>Year 2 adoption ramp</x:v>
      </x:c>
      <x:c r="B35" s="47" t="n">
        <x:v>0.85</x:v>
      </x:c>
      <x:c r="C35" s="38" t="str">
        <x:v>%</x:v>
      </x:c>
      <x:c r="D35" s="38" t="str">
        <x:v>Benchmark</x:v>
      </x:c>
      <x:c r="E35" s="38" t="str">
        <x:v>Confirm against implementation plan</x:v>
      </x:c>
      <x:c r="F35" s="39" t="str">
        <x:v>Yes</x:v>
      </x:c>
    </x:row>
    <x:row r="36">
      <x:c r="A36" s="40" t="str">
        <x:v>Year 3 adoption ramp</x:v>
      </x:c>
      <x:c r="B36" s="47" t="n">
        <x:v>1</x:v>
      </x:c>
      <x:c r="C36" s="38" t="str">
        <x:v>%</x:v>
      </x:c>
      <x:c r="D36" s="38" t="str">
        <x:v>Benchmark</x:v>
      </x:c>
      <x:c r="E36" s="38" t="str">
        <x:v>Confirm against implementation plan</x:v>
      </x:c>
      <x:c r="F36" s="39" t="str">
        <x:v>Yes</x:v>
      </x:c>
    </x:row>
    <x:row r="37">
      <x:c r="A37" s="40" t="str">
        <x:v>Discount rate</x:v>
      </x:c>
      <x:c r="B37" s="47" t="n">
        <x:v>0.1</x:v>
      </x:c>
      <x:c r="C37" s="38" t="str">
        <x:v>%</x:v>
      </x:c>
      <x:c r="D37" s="38" t="str">
        <x:v>Illustrative</x:v>
      </x:c>
      <x:c r="E37" s="38" t="str">
        <x:v>Client finance hurdle rate</x:v>
      </x:c>
      <x:c r="F37" s="39" t="str">
        <x:v>Yes</x:v>
      </x:c>
    </x:row>
    <x:row r="38">
      <x:c r="A38" s="40" t="str">
        <x:v>Annual platform/license cost</x:v>
      </x:c>
      <x:c r="B38" s="46" t="n">
        <x:v>20000</x:v>
      </x:c>
      <x:c r="C38" s="38" t="str">
        <x:v>currency/year</x:v>
      </x:c>
      <x:c r="D38" s="38" t="str">
        <x:v>Illustrative</x:v>
      </x:c>
      <x:c r="E38" s="38" t="str">
        <x:v>Approved commercial quote</x:v>
      </x:c>
      <x:c r="F38" s="39" t="str">
        <x:v>Yes</x:v>
      </x:c>
    </x:row>
    <x:row r="39">
      <x:c r="A39" s="40" t="str">
        <x:v>Implementation cost</x:v>
      </x:c>
      <x:c r="B39" s="46" t="n">
        <x:v>15000</x:v>
      </x:c>
      <x:c r="C39" s="38" t="str">
        <x:v>currency one-time</x:v>
      </x:c>
      <x:c r="D39" s="38" t="str">
        <x:v>Illustrative</x:v>
      </x:c>
      <x:c r="E39" s="38" t="str">
        <x:v>Approved implementation scope</x:v>
      </x:c>
      <x:c r="F39" s="39" t="str">
        <x:v>Yes</x:v>
      </x:c>
    </x:row>
    <x:row r="40">
      <x:c r="A40" s="40" t="str">
        <x:v>Annual internal operating cost</x:v>
      </x:c>
      <x:c r="B40" s="46" t="n">
        <x:v>30000</x:v>
      </x:c>
      <x:c r="C40" s="38" t="str">
        <x:v>currency/year</x:v>
      </x:c>
      <x:c r="D40" s="38" t="str">
        <x:v>Illustrative</x:v>
      </x:c>
      <x:c r="E40" s="38" t="str">
        <x:v>Data, campaign and analytics capacity</x:v>
      </x:c>
      <x:c r="F40" s="39" t="str">
        <x:v>Yes</x:v>
      </x:c>
    </x:row>
    <x:row r="41">
      <x:c r="A41" s="40" t="str">
        <x:v>Annual channel/creative cost</x:v>
      </x:c>
      <x:c r="B41" s="46" t="n">
        <x:v>10000</x:v>
      </x:c>
      <x:c r="C41" s="38" t="str">
        <x:v>currency/year</x:v>
      </x:c>
      <x:c r="D41" s="38" t="str">
        <x:v>Illustrative</x:v>
      </x:c>
      <x:c r="E41" s="38" t="str">
        <x:v>Incremental media, delivery and creative</x:v>
      </x:c>
      <x:c r="F41" s="39" t="str">
        <x:v>Yes</x:v>
      </x:c>
    </x:row>
    <x:row r="42">
      <x:c r="A42" s="52" t="str">
        <x:v>Year 2 upgrade/tier cost</x:v>
      </x:c>
      <x:c r="B42" s="53" t="n">
        <x:v>5000</x:v>
      </x:c>
      <x:c r="C42" s="54" t="str">
        <x:v>currency one-time</x:v>
      </x:c>
      <x:c r="D42" s="54" t="str">
        <x:v>Illustrative</x:v>
      </x:c>
      <x:c r="E42" s="54" t="str">
        <x:v>Set to zero if not applicable</x:v>
      </x:c>
      <x:c r="F42" s="55" t="str">
        <x:v>No</x:v>
      </x:c>
    </x:row>
  </x:sheetData>
  <x:mergeCells>
    <x:mergeCell ref="A1:F1"/>
    <x:mergeCell ref="A2:F2"/>
  </x:mergeCells>
  <x:dataValidations count="2">
    <x:dataValidation type="list" sqref="D6:D42">
      <x:formula1>"Client-confirmed,Illustrative,Benchmark,Derived,Observed-public"</x:formula1>
    </x:dataValidation>
    <x:dataValidation type="list" sqref="F6:F42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2" max="2" width="34" hidden="0" customWidth="1"/>
    <x:col min="7" max="7" width="18" hidden="0" customWidth="1"/>
    <x:col min="12" max="12" width="20" hidden="0" customWidth="1"/>
    <x:col min="13" max="13" width="20" hidden="0" customWidth="1"/>
    <x:col min="14" max="14" width="20" hidden="0" customWidth="1"/>
    <x:col min="15" max="15" width="42" hidden="0" customWidth="1"/>
  </x:cols>
  <x:sheetData>
    <x:row r="1" ht="30" customHeight="1">
      <x:c r="A1" s="34" t="str">
        <x:v>Ecommerce ROI Model — Use Cases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6"/>
    </x:row>
    <x:row r="2">
      <x:c r="A2" s="37" t="str">
        <x:v>Annual contribution = addressable base × uplift × contribution factor × readiness × evidence confidence. Direct savings use a 100% contribution factor.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9"/>
    </x:row>
    <x:row r="3">
      <x:c r="A3" s="40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9"/>
    </x:row>
    <x:row r="4">
      <x:c r="A4" s="43" t="str">
        <x:v>#</x:v>
      </x:c>
      <x:c r="B4" s="44" t="str">
        <x:v>Use case</x:v>
      </x:c>
      <x:c r="C4" s="44" t="str">
        <x:v>Playbook</x:v>
      </x:c>
      <x:c r="D4" s="44" t="str">
        <x:v>Economic type</x:v>
      </x:c>
      <x:c r="E4" s="44" t="str">
        <x:v>Readiness</x:v>
      </x:c>
      <x:c r="F4" s="44" t="str">
        <x:v>Confidence</x:v>
      </x:c>
      <x:c r="G4" s="44" t="str">
        <x:v>Addressable base</x:v>
      </x:c>
      <x:c r="H4" s="44" t="str">
        <x:v>Contribution factor</x:v>
      </x:c>
      <x:c r="I4" s="44" t="str">
        <x:v>Conserv. uplift</x:v>
      </x:c>
      <x:c r="J4" s="44" t="str">
        <x:v>Realistic uplift</x:v>
      </x:c>
      <x:c r="K4" s="44" t="str">
        <x:v>Optim. uplift</x:v>
      </x:c>
      <x:c r="L4" s="44" t="str">
        <x:v>Conserv. contribution</x:v>
      </x:c>
      <x:c r="M4" s="44" t="str">
        <x:v>Realistic contribution</x:v>
      </x:c>
      <x:c r="N4" s="44" t="str">
        <x:v>Optim. contribution</x:v>
      </x:c>
      <x:c r="O4" s="45" t="str">
        <x:v>Evidence / source</x:v>
      </x:c>
    </x:row>
    <x:row r="5">
      <x:c r="A5" s="40" t="n">
        <x:v>1</x:v>
      </x:c>
      <x:c r="B5" s="38" t="str">
        <x:v>Cart abandonment recovery</x:v>
      </x:c>
      <x:c r="C5" s="38" t="str">
        <x:v>ecom-01-cart-abandonment</x:v>
      </x:c>
      <x:c r="D5" s="38" t="str">
        <x:v>Revenue</x:v>
      </x:c>
      <x:c r="E5" s="67" t="n">
        <x:v>0.5</x:v>
      </x:c>
      <x:c r="F5" s="67" t="n">
        <x:v>0.7</x:v>
      </x:c>
      <x:c r="G5" s="68" t="n">
        <x:f>'Assumptions'!B21</x:f>
        <x:v>5000000</x:v>
      </x:c>
      <x:c r="H5" s="67" t="n">
        <x:f>'Assumptions'!B7</x:f>
        <x:v>0.55</x:v>
      </x:c>
      <x:c r="I5" s="67" t="n">
        <x:v>0.03</x:v>
      </x:c>
      <x:c r="J5" s="67" t="n">
        <x:v>0.06</x:v>
      </x:c>
      <x:c r="K5" s="67" t="n">
        <x:v>0.1</x:v>
      </x:c>
      <x:c r="L5" s="69" t="n">
        <x:f>G5*H5*E5*F5*I5</x:f>
        <x:v>28874.999999999996</x:v>
      </x:c>
      <x:c r="M5" s="69" t="n">
        <x:f>G5*H5*E5*F5*J5</x:f>
        <x:v>57749.99999999999</x:v>
      </x:c>
      <x:c r="N5" s="69" t="n">
        <x:f>G5*H5*E5*F5*K5</x:f>
        <x:v>96250</x:v>
      </x:c>
      <x:c r="O5" s="39" t="str">
        <x:v>Cart/checkout telemetry + current recovery baseline</x:v>
      </x:c>
    </x:row>
    <x:row r="6">
      <x:c r="A6" s="40" t="n">
        <x:v>2</x:v>
      </x:c>
      <x:c r="B6" s="38" t="str">
        <x:v>Paid-media audience optimization</x:v>
      </x:c>
      <x:c r="C6" s="38" t="str">
        <x:v>paid-media-audiences</x:v>
      </x:c>
      <x:c r="D6" s="38" t="str">
        <x:v>Revenue</x:v>
      </x:c>
      <x:c r="E6" s="67" t="n">
        <x:v>0.4</x:v>
      </x:c>
      <x:c r="F6" s="67" t="n">
        <x:v>0.6</x:v>
      </x:c>
      <x:c r="G6" s="68" t="n">
        <x:f>'Assumptions'!B19</x:f>
        <x:v>2100000</x:v>
      </x:c>
      <x:c r="H6" s="67" t="n">
        <x:f>'Assumptions'!B7</x:f>
        <x:v>0.55</x:v>
      </x:c>
      <x:c r="I6" s="67" t="n">
        <x:v>0.05</x:v>
      </x:c>
      <x:c r="J6" s="67" t="n">
        <x:v>0.1</x:v>
      </x:c>
      <x:c r="K6" s="67" t="n">
        <x:v>0.15</x:v>
      </x:c>
      <x:c r="L6" s="69" t="n">
        <x:f>G6*H6*E6*F6*I6</x:f>
        <x:v>13860</x:v>
      </x:c>
      <x:c r="M6" s="69" t="n">
        <x:f>G6*H6*E6*F6*J6</x:f>
        <x:v>27720</x:v>
      </x:c>
      <x:c r="N6" s="69" t="n">
        <x:f>G6*H6*E6*F6*K6</x:f>
        <x:v>41580</x:v>
      </x:c>
      <x:c r="O6" s="39" t="str">
        <x:v>Paid acquisition revenue, consent and match-rate evidence</x:v>
      </x:c>
    </x:row>
    <x:row r="7">
      <x:c r="A7" s="40" t="n">
        <x:v>3</x:v>
      </x:c>
      <x:c r="B7" s="38" t="str">
        <x:v>Pre-exit onsite activation</x:v>
      </x:c>
      <x:c r="C7" s="38" t="str">
        <x:v>web-pre-exit</x:v>
      </x:c>
      <x:c r="D7" s="38" t="str">
        <x:v>Revenue</x:v>
      </x:c>
      <x:c r="E7" s="67" t="n">
        <x:v>0.5</x:v>
      </x:c>
      <x:c r="F7" s="67" t="n">
        <x:v>0.6</x:v>
      </x:c>
      <x:c r="G7" s="68" t="n">
        <x:f>'Assumptions'!B30</x:f>
        <x:v>5000000</x:v>
      </x:c>
      <x:c r="H7" s="67" t="n">
        <x:f>'Assumptions'!B7</x:f>
        <x:v>0.55</x:v>
      </x:c>
      <x:c r="I7" s="67" t="n">
        <x:v>0.005</x:v>
      </x:c>
      <x:c r="J7" s="67" t="n">
        <x:v>0.01</x:v>
      </x:c>
      <x:c r="K7" s="67" t="n">
        <x:v>0.018</x:v>
      </x:c>
      <x:c r="L7" s="69" t="n">
        <x:f>G7*H7*E7*F7*I7</x:f>
        <x:v>4125</x:v>
      </x:c>
      <x:c r="M7" s="69" t="n">
        <x:f>G7*H7*E7*F7*J7</x:f>
        <x:v>8250</x:v>
      </x:c>
      <x:c r="N7" s="69" t="n">
        <x:f>G7*H7*E7*F7*K7</x:f>
        <x:v>14849.999999999998</x:v>
      </x:c>
      <x:c r="O7" s="39" t="str">
        <x:v>Eligible sessions and incrementality test</x:v>
      </x:c>
    </x:row>
    <x:row r="8">
      <x:c r="A8" s="40" t="n">
        <x:v>4</x:v>
      </x:c>
      <x:c r="B8" s="38" t="str">
        <x:v>Upsell and cross-sell recommendations</x:v>
      </x:c>
      <x:c r="C8" s="38" t="str">
        <x:v>ecom-04-post-purchase-cross-sell</x:v>
      </x:c>
      <x:c r="D8" s="38" t="str">
        <x:v>Revenue</x:v>
      </x:c>
      <x:c r="E8" s="67" t="n">
        <x:v>0.4</x:v>
      </x:c>
      <x:c r="F8" s="67" t="n">
        <x:v>0.6</x:v>
      </x:c>
      <x:c r="G8" s="68" t="n">
        <x:f>'Assumptions'!B26</x:f>
        <x:v>7000000</x:v>
      </x:c>
      <x:c r="H8" s="67" t="n">
        <x:f>'Assumptions'!B7</x:f>
        <x:v>0.55</x:v>
      </x:c>
      <x:c r="I8" s="67" t="n">
        <x:v>0.01</x:v>
      </x:c>
      <x:c r="J8" s="67" t="n">
        <x:v>0.02</x:v>
      </x:c>
      <x:c r="K8" s="67" t="n">
        <x:v>0.04</x:v>
      </x:c>
      <x:c r="L8" s="69" t="n">
        <x:f>G8*H8*E8*F8*I8</x:f>
        <x:v>9240.000000000002</x:v>
      </x:c>
      <x:c r="M8" s="69" t="n">
        <x:f>G8*H8*E8*F8*J8</x:f>
        <x:v>18480.000000000004</x:v>
      </x:c>
      <x:c r="N8" s="69" t="n">
        <x:f>G8*H8*E8*F8*K8</x:f>
        <x:v>36960.00000000001</x:v>
      </x:c>
      <x:c r="O8" s="39" t="str">
        <x:v>Eligible catalog revenue and recommendation coverage</x:v>
      </x:c>
    </x:row>
    <x:row r="9">
      <x:c r="A9" s="40" t="n">
        <x:v>5</x:v>
      </x:c>
      <x:c r="B9" s="38" t="str">
        <x:v>Higher-AOV premium targeting</x:v>
      </x:c>
      <x:c r="C9" s="38" t="str">
        <x:v>premium-segmentation</x:v>
      </x:c>
      <x:c r="D9" s="38" t="str">
        <x:v>Revenue</x:v>
      </x:c>
      <x:c r="E9" s="67" t="n">
        <x:v>0.4</x:v>
      </x:c>
      <x:c r="F9" s="67" t="n">
        <x:v>0.6</x:v>
      </x:c>
      <x:c r="G9" s="68" t="n">
        <x:f>'Assumptions'!B28</x:f>
        <x:v>3000000</x:v>
      </x:c>
      <x:c r="H9" s="67" t="n">
        <x:f>'Assumptions'!B7</x:f>
        <x:v>0.55</x:v>
      </x:c>
      <x:c r="I9" s="67" t="n">
        <x:v>0.01</x:v>
      </x:c>
      <x:c r="J9" s="67" t="n">
        <x:v>0.02</x:v>
      </x:c>
      <x:c r="K9" s="67" t="n">
        <x:v>0.03</x:v>
      </x:c>
      <x:c r="L9" s="69" t="n">
        <x:f>G9*H9*E9*F9*I9</x:f>
        <x:v>3960.0000000000005</x:v>
      </x:c>
      <x:c r="M9" s="69" t="n">
        <x:f>G9*H9*E9*F9*J9</x:f>
        <x:v>7920.000000000001</x:v>
      </x:c>
      <x:c r="N9" s="69" t="n">
        <x:f>G9*H9*E9*F9*K9</x:f>
        <x:v>11880.000000000002</x:v>
      </x:c>
      <x:c r="O9" s="39" t="str">
        <x:v>Premium segment sizing and baseline AOV</x:v>
      </x:c>
    </x:row>
    <x:row r="10">
      <x:c r="A10" s="40" t="n">
        <x:v>6</x:v>
      </x:c>
      <x:c r="B10" s="38" t="str">
        <x:v>Discount profitability optimization</x:v>
      </x:c>
      <x:c r="C10" s="38" t="str">
        <x:v>discount-optimization</x:v>
      </x:c>
      <x:c r="D10" s="38" t="str">
        <x:v>Direct savings</x:v>
      </x:c>
      <x:c r="E10" s="67" t="n">
        <x:v>0.4</x:v>
      </x:c>
      <x:c r="F10" s="67" t="n">
        <x:v>0.65</x:v>
      </x:c>
      <x:c r="G10" s="68" t="n">
        <x:f>'Assumptions'!B23</x:f>
        <x:v>800000</x:v>
      </x:c>
      <x:c r="H10" s="67" t="n">
        <x:v>1</x:v>
      </x:c>
      <x:c r="I10" s="67" t="n">
        <x:v>0.05</x:v>
      </x:c>
      <x:c r="J10" s="67" t="n">
        <x:v>0.1</x:v>
      </x:c>
      <x:c r="K10" s="67" t="n">
        <x:v>0.15</x:v>
      </x:c>
      <x:c r="L10" s="69" t="n">
        <x:f>G10*H10*E10*F10*I10</x:f>
        <x:v>10400</x:v>
      </x:c>
      <x:c r="M10" s="69" t="n">
        <x:f>G10*H10*E10*F10*J10</x:f>
        <x:v>20800</x:v>
      </x:c>
      <x:c r="N10" s="69" t="n">
        <x:f>G10*H10*E10*F10*K10</x:f>
        <x:v>31200</x:v>
      </x:c>
      <x:c r="O10" s="39" t="str">
        <x:v>Discount spend and holdout measurement</x:v>
      </x:c>
    </x:row>
    <x:row r="11">
      <x:c r="A11" s="40" t="n">
        <x:v>7</x:v>
      </x:c>
      <x:c r="B11" s="38" t="str">
        <x:v>Return-cost reduction</x:v>
      </x:c>
      <x:c r="C11" s="38" t="str">
        <x:v>return-reduction</x:v>
      </x:c>
      <x:c r="D11" s="38" t="str">
        <x:v>Direct savings</x:v>
      </x:c>
      <x:c r="E11" s="67" t="n">
        <x:v>0.3</x:v>
      </x:c>
      <x:c r="F11" s="67" t="n">
        <x:v>0.55</x:v>
      </x:c>
      <x:c r="G11" s="68" t="n">
        <x:f>'Assumptions'!B24</x:f>
        <x:v>225000</x:v>
      </x:c>
      <x:c r="H11" s="67" t="n">
        <x:v>1</x:v>
      </x:c>
      <x:c r="I11" s="67" t="n">
        <x:v>0.05</x:v>
      </x:c>
      <x:c r="J11" s="67" t="n">
        <x:v>0.1</x:v>
      </x:c>
      <x:c r="K11" s="67" t="n">
        <x:v>0.2</x:v>
      </x:c>
      <x:c r="L11" s="69" t="n">
        <x:f>G11*H11*E11*F11*I11</x:f>
        <x:v>1856.25</x:v>
      </x:c>
      <x:c r="M11" s="69" t="n">
        <x:f>G11*H11*E11*F11*J11</x:f>
        <x:v>3712.5</x:v>
      </x:c>
      <x:c r="N11" s="69" t="n">
        <x:f>G11*H11*E11*F11*K11</x:f>
        <x:v>7425</x:v>
      </x:c>
      <x:c r="O11" s="39" t="str">
        <x:v>Return handling cost and controllable causes</x:v>
      </x:c>
    </x:row>
    <x:row r="12">
      <x:c r="A12" s="40" t="n">
        <x:v>8</x:v>
      </x:c>
      <x:c r="B12" s="38" t="str">
        <x:v>Advanced email lifecycle</x:v>
      </x:c>
      <x:c r="C12" s="38" t="str">
        <x:v>ecom-05-winback</x:v>
      </x:c>
      <x:c r="D12" s="38" t="str">
        <x:v>Revenue</x:v>
      </x:c>
      <x:c r="E12" s="67" t="n">
        <x:v>0.5</x:v>
      </x:c>
      <x:c r="F12" s="67" t="n">
        <x:v>0.7</x:v>
      </x:c>
      <x:c r="G12" s="68" t="n">
        <x:f>'Assumptions'!B16</x:f>
        <x:v>1000000</x:v>
      </x:c>
      <x:c r="H12" s="67" t="n">
        <x:f>'Assumptions'!B7</x:f>
        <x:v>0.55</x:v>
      </x:c>
      <x:c r="I12" s="67" t="n">
        <x:v>0.05</x:v>
      </x:c>
      <x:c r="J12" s="67" t="n">
        <x:v>0.1</x:v>
      </x:c>
      <x:c r="K12" s="67" t="n">
        <x:v>0.15</x:v>
      </x:c>
      <x:c r="L12" s="69" t="n">
        <x:f>G12*H12*E12*F12*I12</x:f>
        <x:v>9625</x:v>
      </x:c>
      <x:c r="M12" s="69" t="n">
        <x:f>G12*H12*E12*F12*J12</x:f>
        <x:v>19250</x:v>
      </x:c>
      <x:c r="N12" s="69" t="n">
        <x:f>G12*H12*E12*F12*K12</x:f>
        <x:v>28875</x:v>
      </x:c>
      <x:c r="O12" s="39" t="str">
        <x:v>Consented reachable profiles and current email baseline</x:v>
      </x:c>
    </x:row>
    <x:row r="13">
      <x:c r="A13" s="70"/>
      <x:c r="B13" s="71" t="str">
        <x:v>TOTAL before overlap</x:v>
      </x:c>
      <x:c r="C13" s="71"/>
      <x:c r="D13" s="71"/>
      <x:c r="E13" s="71"/>
      <x:c r="F13" s="71"/>
      <x:c r="G13" s="71"/>
      <x:c r="H13" s="71"/>
      <x:c r="I13" s="71"/>
      <x:c r="J13" s="71"/>
      <x:c r="K13" s="71"/>
      <x:c r="L13" s="72" t="n">
        <x:f>SUM(L5:L12)</x:f>
        <x:v>81941.25</x:v>
      </x:c>
      <x:c r="M13" s="72" t="n">
        <x:f>SUM(M5:M12)</x:f>
        <x:v>163882.5</x:v>
      </x:c>
      <x:c r="N13" s="72" t="n">
        <x:f>SUM(N5:N12)</x:f>
        <x:v>269020</x:v>
      </x:c>
      <x:c r="O13" s="73"/>
    </x:row>
  </x:sheetData>
  <x:mergeCells>
    <x:mergeCell ref="A1:O1"/>
    <x:mergeCell ref="A2:O2"/>
  </x:mergeCells>
  <x:dataValidations count="3">
    <x:dataValidation type="list" sqref="D5:D12">
      <x:formula1>"Revenue,Direct savings"</x:formula1>
    </x:dataValidation>
    <x:dataValidation type="decimal" operator="between" sqref="E5:F12">
      <x:formula1>0</x:formula1>
      <x:formula2>1</x:formula2>
    </x:dataValidation>
    <x:dataValidation type="decimal" operator="between" sqref="I5:K12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0" customHeight="1">
      <x:c r="A1" s="34" t="str">
        <x:v>Ecommerce ROI Model — Summary</x:v>
      </x:c>
      <x:c r="B1" s="35"/>
      <x:c r="C1" s="35"/>
      <x:c r="D1" s="35"/>
      <x:c r="E1" s="35"/>
      <x:c r="F1" s="36"/>
    </x:row>
    <x:row r="2">
      <x:c r="A2" s="37" t="str">
        <x:v>Use contribution economics for decisions. Revenue opportunity is not ROI. All outputs remain illustrative until required assumptions are client-confirmed.</x:v>
      </x:c>
      <x:c r="B2" s="38"/>
      <x:c r="C2" s="38"/>
      <x:c r="D2" s="38"/>
      <x:c r="E2" s="38"/>
      <x:c r="F2" s="39"/>
    </x:row>
    <x:row r="3">
      <x:c r="A3" s="40"/>
      <x:c r="B3" s="38"/>
      <x:c r="C3" s="38"/>
      <x:c r="D3" s="38"/>
      <x:c r="E3" s="38"/>
      <x:c r="F3" s="39"/>
    </x:row>
    <x:row r="4">
      <x:c r="A4" s="43" t="str">
        <x:v>Metric</x:v>
      </x:c>
      <x:c r="B4" s="44" t="str">
        <x:v>Conservative</x:v>
      </x:c>
      <x:c r="C4" s="44" t="str">
        <x:v>Realistic</x:v>
      </x:c>
      <x:c r="D4" s="44" t="str">
        <x:v>Optimistic</x:v>
      </x:c>
      <x:c r="E4" s="44" t="str">
        <x:v>Unit</x:v>
      </x:c>
      <x:c r="F4" s="45" t="str">
        <x:v>Note</x:v>
      </x:c>
      <x:c r="H4" t="str">
        <x:v>Metric</x:v>
      </x:c>
      <x:c r="I4" t="str">
        <x:v>Conservative</x:v>
      </x:c>
      <x:c r="J4" t="str">
        <x:v>Realistic</x:v>
      </x:c>
      <x:c r="K4" t="str">
        <x:v>Optimistic</x:v>
      </x:c>
    </x:row>
    <x:row r="5">
      <x:c r="A5" s="40" t="str">
        <x:v>Annual contribution before overlap</x:v>
      </x:c>
      <x:c r="B5" s="69" t="n">
        <x:f>'Use Cases'!L13</x:f>
        <x:v>81941.25</x:v>
      </x:c>
      <x:c r="C5" s="69" t="n">
        <x:f>'Use Cases'!M13</x:f>
        <x:v>163882.5</x:v>
      </x:c>
      <x:c r="D5" s="69" t="n">
        <x:f>'Use Cases'!N13</x:f>
        <x:v>269020</x:v>
      </x:c>
      <x:c r="E5" s="38" t="str">
        <x:v>currency/year</x:v>
      </x:c>
      <x:c r="F5" s="39" t="str">
        <x:v>Use-case contribution, readiness and confidence adjusted</x:v>
      </x:c>
      <x:c r="H5" t="str">
        <x:v>Annual net contribution</x:v>
      </x:c>
      <x:c r="I5" s="60" t="n">
        <x:f>B7</x:f>
        <x:v>61455.9375</x:v>
      </x:c>
      <x:c r="J5" s="60" t="n">
        <x:f>C7</x:f>
        <x:v>139300.125</x:v>
      </x:c>
      <x:c r="K5" s="60" t="n">
        <x:f>D7</x:f>
        <x:v>242118</x:v>
      </x:c>
    </x:row>
    <x:row r="6">
      <x:c r="A6" s="40" t="str">
        <x:v>Portfolio overlap</x:v>
      </x:c>
      <x:c r="B6" s="84" t="n">
        <x:f>'Assumptions'!B31</x:f>
        <x:v>0.25</x:v>
      </x:c>
      <x:c r="C6" s="84" t="n">
        <x:f>'Assumptions'!B32</x:f>
        <x:v>0.15</x:v>
      </x:c>
      <x:c r="D6" s="84" t="n">
        <x:f>'Assumptions'!B33</x:f>
        <x:v>0.1</x:v>
      </x:c>
      <x:c r="E6" s="38" t="str">
        <x:v>%</x:v>
      </x:c>
      <x:c r="F6" s="39" t="str">
        <x:v>Cannibalization/interaction assumption</x:v>
      </x:c>
    </x:row>
    <x:row r="7">
      <x:c r="A7" s="40" t="str">
        <x:v>Annual net contribution</x:v>
      </x:c>
      <x:c r="B7" s="69" t="n">
        <x:f>B5*(1-B6)</x:f>
        <x:v>61455.9375</x:v>
      </x:c>
      <x:c r="C7" s="69" t="n">
        <x:f>C5*(1-C6)</x:f>
        <x:v>139300.125</x:v>
      </x:c>
      <x:c r="D7" s="69" t="n">
        <x:f>D5*(1-D6)</x:f>
        <x:v>242118</x:v>
      </x:c>
      <x:c r="E7" s="38" t="str">
        <x:v>currency/year</x:v>
      </x:c>
      <x:c r="F7" s="39" t="str">
        <x:v>After overlap deduction</x:v>
      </x:c>
    </x:row>
    <x:row r="8">
      <x:c r="A8" s="40" t="str">
        <x:v>Contribution as share of revenue</x:v>
      </x:c>
      <x:c r="B8" s="84" t="n">
        <x:f>IFERROR(B7/'Assumptions'!B6,0)</x:f>
        <x:v>0.00614559375</x:v>
      </x:c>
      <x:c r="C8" s="84" t="n">
        <x:f>IFERROR(C7/'Assumptions'!B6,0)</x:f>
        <x:v>0.0139300125</x:v>
      </x:c>
      <x:c r="D8" s="84" t="n">
        <x:f>IFERROR(D7/'Assumptions'!B6,0)</x:f>
        <x:v>0.0242118</x:v>
      </x:c>
      <x:c r="E8" s="38" t="str">
        <x:v>%</x:v>
      </x:c>
      <x:c r="F8" s="39" t="str">
        <x:v>Not a revenue-lift claim</x:v>
      </x:c>
    </x:row>
    <x:row r="9">
      <x:c r="A9" s="40"/>
      <x:c r="B9" s="38"/>
      <x:c r="C9" s="38"/>
      <x:c r="D9" s="38"/>
      <x:c r="E9" s="38"/>
      <x:c r="F9" s="39"/>
    </x:row>
    <x:row r="10">
      <x:c r="A10" s="85" t="str">
        <x:v>3-year cash flow — realistic scenario</x:v>
      </x:c>
      <x:c r="B10" s="86" t="str">
        <x:v>3-year cash flow — realistic scenario</x:v>
      </x:c>
      <x:c r="C10" s="86" t="str">
        <x:v>3-year cash flow — realistic scenario</x:v>
      </x:c>
      <x:c r="D10" s="86" t="str">
        <x:v>3-year cash flow — realistic scenario</x:v>
      </x:c>
      <x:c r="E10" s="86" t="str">
        <x:v>3-year cash flow — realistic scenario</x:v>
      </x:c>
      <x:c r="F10" s="87" t="str">
        <x:v>3-year cash flow — realistic scenario</x:v>
      </x:c>
    </x:row>
    <x:row r="11">
      <x:c r="A11" s="43" t="str">
        <x:v>Year</x:v>
      </x:c>
      <x:c r="B11" s="44" t="str">
        <x:v>Adoption ramp</x:v>
      </x:c>
      <x:c r="C11" s="44" t="str">
        <x:v>Gross contribution</x:v>
      </x:c>
      <x:c r="D11" s="44" t="str">
        <x:v>Total cost</x:v>
      </x:c>
      <x:c r="E11" s="44" t="str">
        <x:v>Net cash flow</x:v>
      </x:c>
      <x:c r="F11" s="45" t="str">
        <x:v>Discounted net cash flow</x:v>
      </x:c>
    </x:row>
    <x:row r="12">
      <x:c r="A12" s="40" t="str">
        <x:v>Year 1</x:v>
      </x:c>
      <x:c r="B12" s="84" t="n">
        <x:f>'Assumptions'!B34</x:f>
        <x:v>0.5</x:v>
      </x:c>
      <x:c r="C12" s="69" t="n">
        <x:f>$C$7*B12</x:f>
        <x:v>69650.0625</x:v>
      </x:c>
      <x:c r="D12" s="69" t="n">
        <x:f>'Assumptions'!B38+'Assumptions'!B39+'Assumptions'!B40+'Assumptions'!B41</x:f>
        <x:v>75000</x:v>
      </x:c>
      <x:c r="E12" s="69" t="n">
        <x:f>C12-D12</x:f>
        <x:v>-5349.9375</x:v>
      </x:c>
      <x:c r="F12" s="88" t="n">
        <x:f>E12/(1+'Assumptions'!B37)^(ROW()-11)</x:f>
        <x:v>-4863.579545454545</x:v>
      </x:c>
    </x:row>
    <x:row r="13">
      <x:c r="A13" s="40" t="str">
        <x:v>Year 2</x:v>
      </x:c>
      <x:c r="B13" s="84" t="n">
        <x:f>'Assumptions'!B35</x:f>
        <x:v>0.85</x:v>
      </x:c>
      <x:c r="C13" s="69" t="n">
        <x:f>$C$7*B13</x:f>
        <x:v>118405.10625</x:v>
      </x:c>
      <x:c r="D13" s="69" t="n">
        <x:f>'Assumptions'!B38+'Assumptions'!B40+'Assumptions'!B41+'Assumptions'!B42</x:f>
        <x:v>65000</x:v>
      </x:c>
      <x:c r="E13" s="69" t="n">
        <x:f>C13-D13</x:f>
        <x:v>53405.10625</x:v>
      </x:c>
      <x:c r="F13" s="88" t="n">
        <x:f>E13/(1+'Assumptions'!B37)^(ROW()-11)</x:f>
        <x:v>44136.45144628098</x:v>
      </x:c>
    </x:row>
    <x:row r="14">
      <x:c r="A14" s="40" t="str">
        <x:v>Year 3</x:v>
      </x:c>
      <x:c r="B14" s="84" t="n">
        <x:f>'Assumptions'!B36</x:f>
        <x:v>1</x:v>
      </x:c>
      <x:c r="C14" s="69" t="n">
        <x:f>$C$7*B14</x:f>
        <x:v>139300.125</x:v>
      </x:c>
      <x:c r="D14" s="69" t="n">
        <x:f>'Assumptions'!B38+'Assumptions'!B40+'Assumptions'!B41</x:f>
        <x:v>60000</x:v>
      </x:c>
      <x:c r="E14" s="69" t="n">
        <x:f>C14-D14</x:f>
        <x:v>79300.125</x:v>
      </x:c>
      <x:c r="F14" s="88" t="n">
        <x:f>E14/(1+'Assumptions'!B37)^(ROW()-11)</x:f>
        <x:v>59579.35762584521</x:v>
      </x:c>
    </x:row>
    <x:row r="15">
      <x:c r="A15" s="41" t="str">
        <x:v>3-year total</x:v>
      </x:c>
      <x:c r="B15" s="89"/>
      <x:c r="C15" s="90" t="n">
        <x:f>SUM(C12:C14)</x:f>
        <x:v>327355.29375</x:v>
      </x:c>
      <x:c r="D15" s="90" t="n">
        <x:f>SUM(D12:D14)</x:f>
        <x:v>200000</x:v>
      </x:c>
      <x:c r="E15" s="90" t="n">
        <x:f>SUM(E12:E14)</x:f>
        <x:v>127355.29375</x:v>
      </x:c>
      <x:c r="F15" s="91" t="n">
        <x:f>SUM(F12:F14)</x:f>
        <x:v>98852.22952667164</x:v>
      </x:c>
    </x:row>
    <x:row r="16">
      <x:c r="A16" s="40"/>
      <x:c r="B16" s="38"/>
      <x:c r="C16" s="38"/>
      <x:c r="D16" s="38"/>
      <x:c r="E16" s="38"/>
      <x:c r="F16" s="39"/>
    </x:row>
    <x:row r="17">
      <x:c r="A17" s="85" t="str">
        <x:v>Decision metrics</x:v>
      </x:c>
      <x:c r="B17" s="86" t="str">
        <x:v>Decision metrics</x:v>
      </x:c>
      <x:c r="C17" s="86" t="str">
        <x:v>Decision metrics</x:v>
      </x:c>
      <x:c r="D17" s="86" t="str">
        <x:v>Decision metrics</x:v>
      </x:c>
      <x:c r="E17" s="86" t="str">
        <x:v>Decision metrics</x:v>
      </x:c>
      <x:c r="F17" s="87" t="str">
        <x:v>Decision metrics</x:v>
      </x:c>
    </x:row>
    <x:row r="18">
      <x:c r="A18" s="40" t="str">
        <x:v>NPV of 3-year net cash flow</x:v>
      </x:c>
      <x:c r="B18" s="69" t="n">
        <x:f>SUM(F12:F14)</x:f>
        <x:v>98852.22952667164</x:v>
      </x:c>
      <x:c r="C18" s="38"/>
      <x:c r="D18" s="38"/>
      <x:c r="E18" s="38" t="str">
        <x:v>currency</x:v>
      </x:c>
      <x:c r="F18" s="39" t="str">
        <x:v>Uses client discount rate</x:v>
      </x:c>
    </x:row>
    <x:row r="19">
      <x:c r="A19" s="40" t="str">
        <x:v>3-year ROI</x:v>
      </x:c>
      <x:c r="B19" s="84" t="n">
        <x:f>IFERROR((SUM(C12:C14)-SUM(D12:D14))/SUM(D12:D14),0)</x:f>
        <x:v>0.63677646875</x:v>
      </x:c>
      <x:c r="C19" s="38"/>
      <x:c r="D19" s="38"/>
      <x:c r="E19" s="38" t="str">
        <x:v>%</x:v>
      </x:c>
      <x:c r="F19" s="39" t="str">
        <x:v>(Contribution − costs) ÷ costs</x:v>
      </x:c>
    </x:row>
    <x:row r="20">
      <x:c r="A20" s="40" t="str">
        <x:v>Simple payback</x:v>
      </x:c>
      <x:c r="B20" s="92" t="n">
        <x:f>IF(C12&lt;=0,"N/A",D12/(C12/12))</x:f>
        <x:v>12.921740019974857</x:v>
      </x:c>
      <x:c r="C20" s="38"/>
      <x:c r="D20" s="38"/>
      <x:c r="E20" s="38" t="str">
        <x:v>months</x:v>
      </x:c>
      <x:c r="F20" s="39" t="str">
        <x:v>Year-1 average contribution; indicative</x:v>
      </x:c>
    </x:row>
    <x:row r="21">
      <x:c r="A21" s="40" t="str">
        <x:v>Model status</x:v>
      </x:c>
      <x:c r="B21" s="93" t="str">
        <x:f>'Assumptions'!B4</x:f>
        <x:v>ILLUSTRATIVE</x:v>
      </x:c>
      <x:c r="C21" s="38"/>
      <x:c r="D21" s="38"/>
      <x:c r="E21" s="38" t="str">
        <x:v>status</x:v>
      </x:c>
      <x:c r="F21" s="39" t="str">
        <x:v>Must be CLIENT-CONFIRMED for a business case</x:v>
      </x:c>
    </x:row>
    <x:row r="22">
      <x:c r="A22" s="52" t="str">
        <x:v>Checks status</x:v>
      </x:c>
      <x:c r="B22" s="94" t="str">
        <x:f>'Checks'!B3</x:f>
        <x:v>WARNING</x:v>
      </x:c>
      <x:c r="C22" s="54"/>
      <x:c r="D22" s="54"/>
      <x:c r="E22" s="54" t="str">
        <x:v>status</x:v>
      </x:c>
      <x:c r="F22" s="55" t="str">
        <x:v>See Checks tab</x:v>
      </x:c>
    </x:row>
  </x:sheetData>
  <x:mergeCells>
    <x:mergeCell ref="A1:F1"/>
    <x:mergeCell ref="A2:F2"/>
    <x:mergeCell ref="A10:F10"/>
    <x:mergeCell ref="A17:F17"/>
  </x:mergeCells>
  <x:pageMargins left="0.7" right="0.7" top="0.75" bottom="0.75" header="0.3" footer="0.3"/>
  <x:drawing xmlns:r="http://schemas.openxmlformats.org/officeDocument/2006/relationships" r:id="Rfcb9fcd03826420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0" customHeight="1">
      <x:c r="A1" s="23" t="str">
        <x:v>Ecommerce ROI Model — Checks</x:v>
      </x:c>
      <x:c r="B1" s="24"/>
      <x:c r="C1" s="24"/>
      <x:c r="D1" s="24"/>
      <x:c r="E1" s="24"/>
      <x:c r="F1" s="24"/>
    </x:row>
    <x:row r="2">
      <x:c r="A2" s="24"/>
      <x:c r="B2" s="24"/>
      <x:c r="C2" s="24"/>
      <x:c r="D2" s="24"/>
      <x:c r="E2" s="24"/>
      <x:c r="F2" s="24"/>
    </x:row>
    <x:row r="3">
      <x:c r="A3" s="26" t="str">
        <x:v>MODEL STATUS</x:v>
      </x:c>
      <x:c r="B3" s="26" t="str">
        <x:f>IF(COUNTIF(E5:E10,"FAIL")&gt;0,"FAIL",IF(COUNTIF(E5:E10,"WARNING")&gt;0,"WARNING","PASS"))</x:f>
        <x:v>WARNING</x:v>
      </x:c>
      <x:c r="C3" s="24"/>
      <x:c r="D3" s="24"/>
      <x:c r="E3" s="24"/>
      <x:c r="F3" s="24"/>
    </x:row>
    <x:row r="4">
      <x:c r="A4" s="11" t="str">
        <x:v>Check</x:v>
      </x:c>
      <x:c r="B4" s="12" t="str">
        <x:v>Actual</x:v>
      </x:c>
      <x:c r="C4" s="12" t="str">
        <x:v>Expected</x:v>
      </x:c>
      <x:c r="D4" s="12" t="str">
        <x:v>Difference</x:v>
      </x:c>
      <x:c r="E4" s="12" t="str">
        <x:v>Status</x:v>
      </x:c>
      <x:c r="F4" s="13" t="str">
        <x:v>Where to fix</x:v>
      </x:c>
    </x:row>
    <x:row r="5">
      <x:c r="A5" s="24" t="str">
        <x:v>Required assumptions confirmed</x:v>
      </x:c>
      <x:c r="B5" s="24" t="str">
        <x:f>'Assumptions'!B4</x:f>
        <x:v>ILLUSTRATIVE</x:v>
      </x:c>
      <x:c r="C5" s="24" t="str">
        <x:v>CLIENT-CONFIRMED</x:v>
      </x:c>
      <x:c r="D5" s="24"/>
      <x:c r="E5" s="96" t="str">
        <x:f>IF(B5=C5,"PASS","WARNING")</x:f>
        <x:v>WARNING</x:v>
      </x:c>
      <x:c r="F5" s="24" t="str">
        <x:v>Assumptions evidence status</x:v>
      </x:c>
    </x:row>
    <x:row r="6">
      <x:c r="A6" s="24" t="str">
        <x:v>Readiness factors within 0–100%</x:v>
      </x:c>
      <x:c r="B6" s="24" t="n">
        <x:f>COUNTIFS('Use Cases'!E5:E12,"&gt;=0",'Use Cases'!E5:E12,"&lt;=1")</x:f>
        <x:v>8</x:v>
      </x:c>
      <x:c r="C6" s="24" t="n">
        <x:v>8</x:v>
      </x:c>
      <x:c r="D6" s="24"/>
      <x:c r="E6" s="96" t="str">
        <x:f>IF(B6=C6,"PASS","FAIL")</x:f>
        <x:v>PASS</x:v>
      </x:c>
      <x:c r="F6" s="24" t="str">
        <x:v>Use Cases E5:E12</x:v>
      </x:c>
    </x:row>
    <x:row r="7">
      <x:c r="A7" s="24" t="str">
        <x:v>Confidence factors within 0–100%</x:v>
      </x:c>
      <x:c r="B7" s="24" t="n">
        <x:f>COUNTIFS('Use Cases'!F5:F12,"&gt;=0",'Use Cases'!F5:F12,"&lt;=1")</x:f>
        <x:v>8</x:v>
      </x:c>
      <x:c r="C7" s="24" t="n">
        <x:v>8</x:v>
      </x:c>
      <x:c r="D7" s="24"/>
      <x:c r="E7" s="96" t="str">
        <x:f>IF(B7=C7,"PASS","FAIL")</x:f>
        <x:v>PASS</x:v>
      </x:c>
      <x:c r="F7" s="24" t="str">
        <x:v>Use Cases F5:F12</x:v>
      </x:c>
    </x:row>
    <x:row r="8">
      <x:c r="A8" s="24" t="str">
        <x:v>Uplifts ordered conserv. ≤ realistic ≤ optimistic</x:v>
      </x:c>
      <x:c r="B8" s="24" t="n">
        <x:f>SUMPRODUCT(--('Use Cases'!I5:I12&lt;='Use Cases'!J5:J12),--('Use Cases'!J5:J12&lt;='Use Cases'!K5:K12))</x:f>
        <x:v>8</x:v>
      </x:c>
      <x:c r="C8" s="24" t="n">
        <x:v>8</x:v>
      </x:c>
      <x:c r="D8" s="24"/>
      <x:c r="E8" s="96" t="str">
        <x:f>IF(B8=C8,"PASS","FAIL")</x:f>
        <x:v>PASS</x:v>
      </x:c>
      <x:c r="F8" s="24" t="str">
        <x:v>Use Cases I5:K12</x:v>
      </x:c>
    </x:row>
    <x:row r="9">
      <x:c r="A9" s="24" t="str">
        <x:v>Costs are non-negative</x:v>
      </x:c>
      <x:c r="B9" s="24" t="n">
        <x:f>COUNTIF('Assumptions'!B38:B42,"&gt;=0")</x:f>
        <x:v>5</x:v>
      </x:c>
      <x:c r="C9" s="24" t="n">
        <x:v>5</x:v>
      </x:c>
      <x:c r="D9" s="24"/>
      <x:c r="E9" s="96" t="str">
        <x:f>IF(B9=C9,"PASS","FAIL")</x:f>
        <x:v>PASS</x:v>
      </x:c>
      <x:c r="F9" s="24" t="str">
        <x:v>Assumptions B38:B42</x:v>
      </x:c>
    </x:row>
    <x:row r="10">
      <x:c r="A10" s="24" t="str">
        <x:v>Cash flow total ties</x:v>
      </x:c>
      <x:c r="B10" s="24" t="n">
        <x:f>'Summary'!E15-SUM('Summary'!E12:E14)</x:f>
        <x:v>0</x:v>
      </x:c>
      <x:c r="C10" s="24" t="n">
        <x:v>0</x:v>
      </x:c>
      <x:c r="D10" s="24" t="n">
        <x:f>B10-C10</x:f>
        <x:v>0</x:v>
      </x:c>
      <x:c r="E10" s="96" t="str">
        <x:f>IF(ABS(D10)&lt;0.01,"PASS","FAIL")</x:f>
        <x:v>PASS</x:v>
      </x:c>
      <x:c r="F10" s="24" t="str">
        <x:v>Summary E15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3" max="3" width="18" hidden="0" customWidth="1"/>
    <x:col min="6" max="6" width="18" hidden="0" customWidth="1"/>
    <x:col min="8" max="8" width="18" hidden="0" customWidth="1"/>
    <x:col min="2" max="2" width="28" hidden="0" customWidth="1"/>
    <x:col min="4" max="4" width="30" hidden="0" customWidth="1"/>
    <x:col min="5" max="5" width="48" hidden="0" customWidth="1"/>
    <x:col min="7" max="7" width="24" hidden="0" customWidth="1"/>
    <x:col min="9" max="9" width="44" hidden="0" customWidth="1"/>
  </x:cols>
  <x:sheetData>
    <x:row r="1" ht="30" customHeight="1">
      <x:c r="A1" s="23" t="str">
        <x:v>Ecommerce ROI Model — Sources &amp; Evidence Log</x:v>
      </x:c>
      <x:c r="B1" s="24"/>
      <x:c r="C1" s="24"/>
      <x:c r="D1" s="24"/>
      <x:c r="E1" s="24"/>
      <x:c r="F1" s="24"/>
      <x:c r="G1" s="24"/>
      <x:c r="H1" s="24"/>
      <x:c r="I1" s="24"/>
    </x:row>
    <x:row r="2">
      <x:c r="A2" s="24" t="str">
        <x:v>Replace benchmark placeholders with exact current sources before client delivery. Record source date, market, population and metric definition.</x:v>
      </x:c>
      <x:c r="B2" s="24"/>
      <x:c r="C2" s="24"/>
      <x:c r="D2" s="24"/>
      <x:c r="E2" s="24"/>
      <x:c r="F2" s="24"/>
      <x:c r="G2" s="24"/>
      <x:c r="H2" s="24"/>
      <x:c r="I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</x:row>
    <x:row r="4">
      <x:c r="A4" s="11" t="str">
        <x:v>Source ID</x:v>
      </x:c>
      <x:c r="B4" s="12" t="str">
        <x:v>Input / use case</x:v>
      </x:c>
      <x:c r="C4" s="12" t="str">
        <x:v>Source type</x:v>
      </x:c>
      <x:c r="D4" s="12" t="str">
        <x:v>Source name</x:v>
      </x:c>
      <x:c r="E4" s="12" t="str">
        <x:v>URL / reference</x:v>
      </x:c>
      <x:c r="F4" s="12" t="str">
        <x:v>As-of date</x:v>
      </x:c>
      <x:c r="G4" s="12" t="str">
        <x:v>Market / population</x:v>
      </x:c>
      <x:c r="H4" s="12" t="str">
        <x:v>Owner</x:v>
      </x:c>
      <x:c r="I4" s="13" t="str">
        <x:v>Notes</x:v>
      </x:c>
    </x:row>
    <x:row r="5">
      <x:c r="A5" s="24" t="str">
        <x:v>SRC-CLIENT-01</x:v>
      </x:c>
      <x:c r="B5" s="24" t="str">
        <x:v>Financial baseline</x:v>
      </x:c>
      <x:c r="C5" s="24" t="str">
        <x:v>Client-confirmed</x:v>
      </x:c>
      <x:c r="D5" s="24" t="str">
        <x:v>Client finance/commerce reporting</x:v>
      </x:c>
      <x:c r="E5" s="24" t="str"/>
      <x:c r="F5" s="98"/>
      <x:c r="G5" s="24" t="str">
        <x:v>Client-specific</x:v>
      </x:c>
      <x:c r="H5" s="24" t="str">
        <x:v>Finance owner</x:v>
      </x:c>
      <x:c r="I5" s="24" t="str">
        <x:v>Required before business-case status</x:v>
      </x:c>
    </x:row>
    <x:row r="6">
      <x:c r="A6" s="24" t="str">
        <x:v>SRC-WEB-01</x:v>
      </x:c>
      <x:c r="B6" s="24" t="str">
        <x:v>Use-case applicability</x:v>
      </x:c>
      <x:c r="C6" s="24" t="str">
        <x:v>Observed-public</x:v>
      </x:c>
      <x:c r="D6" s="24" t="str">
        <x:v>Public website reconnaissance</x:v>
      </x:c>
      <x:c r="E6" s="24" t="str"/>
      <x:c r="F6" s="98"/>
      <x:c r="G6" s="24" t="str">
        <x:v>Website</x:v>
      </x:c>
      <x:c r="H6" s="24" t="str">
        <x:v>Digital owner</x:v>
      </x:c>
      <x:c r="I6" s="24" t="str">
        <x:v>Does not establish financial performance</x:v>
      </x:c>
    </x:row>
    <x:row r="7">
      <x:c r="A7" s="24" t="str">
        <x:v>SRC-MEIRO-01</x:v>
      </x:c>
      <x:c r="B7" s="24" t="str">
        <x:v>Technical readiness</x:v>
      </x:c>
      <x:c r="C7" s="24" t="str">
        <x:v>Observed-readonly</x:v>
      </x:c>
      <x:c r="D7" s="24" t="str">
        <x:v>Meiro audit artifacts</x:v>
      </x:c>
      <x:c r="E7" s="24" t="str"/>
      <x:c r="F7" s="98"/>
      <x:c r="G7" s="24" t="str">
        <x:v>Named instance</x:v>
      </x:c>
      <x:c r="H7" s="24" t="str">
        <x:v>CDP owner</x:v>
      </x:c>
      <x:c r="I7" s="24" t="str">
        <x:v>Aggregate configuration evidence only</x:v>
      </x:c>
    </x:row>
    <x:row r="8">
      <x:c r="A8" s="24" t="str">
        <x:v>BENCH-01</x:v>
      </x:c>
      <x:c r="B8" s="24" t="str">
        <x:v>Cart abandonment</x:v>
      </x:c>
      <x:c r="C8" s="24" t="str">
        <x:v>Benchmark-unverified</x:v>
      </x:c>
      <x:c r="D8" s="24" t="str">
        <x:v>Baymard abandonment research</x:v>
      </x:c>
      <x:c r="E8" s="24" t="str">
        <x:v>https://baymard.com/lists/cart-abandonment-rate</x:v>
      </x:c>
      <x:c r="F8" s="98"/>
      <x:c r="G8" s="24" t="str">
        <x:v>Verify current population</x:v>
      </x:c>
      <x:c r="H8" s="24" t="str">
        <x:v>Analyst</x:v>
      </x:c>
      <x:c r="I8" s="24" t="str">
        <x:v>Reference workbook source; verify before use</x:v>
      </x:c>
    </x:row>
    <x:row r="9">
      <x:c r="A9" s="24" t="str">
        <x:v>BENCH-02</x:v>
      </x:c>
      <x:c r="B9" s="24" t="str">
        <x:v>Email lifecycle</x:v>
      </x:c>
      <x:c r="C9" s="24" t="str">
        <x:v>Benchmark-unverified</x:v>
      </x:c>
      <x:c r="D9" s="24" t="str">
        <x:v>Klaviyo benchmarks</x:v>
      </x:c>
      <x:c r="E9" s="24" t="str">
        <x:v>https://www.klaviyo.com/marketing-resources/benchmarks</x:v>
      </x:c>
      <x:c r="F9" s="98"/>
      <x:c r="G9" s="24" t="str">
        <x:v>Verify segment/industry</x:v>
      </x:c>
      <x:c r="H9" s="24" t="str">
        <x:v>Analyst</x:v>
      </x:c>
      <x:c r="I9" s="24" t="str">
        <x:v>Reference workbook source; verify exact metric</x:v>
      </x:c>
    </x:row>
    <x:row r="10">
      <x:c r="A10" s="24" t="str">
        <x:v>BENCH-03</x:v>
      </x:c>
      <x:c r="B10" s="24" t="str">
        <x:v>Other uplifts</x:v>
      </x:c>
      <x:c r="C10" s="24" t="str">
        <x:v>Benchmark-unverified</x:v>
      </x:c>
      <x:c r="D10" s="24" t="str">
        <x:v>Supplier/case-study evidence</x:v>
      </x:c>
      <x:c r="E10" s="24" t="str"/>
      <x:c r="F10" s="98"/>
      <x:c r="G10" s="24" t="str">
        <x:v>Match client market</x:v>
      </x:c>
      <x:c r="H10" s="24" t="str">
        <x:v>Analyst</x:v>
      </x:c>
      <x:c r="I10" s="24" t="str">
        <x:v>Do not use without exact URL and methodology</x:v>
      </x:c>
    </x:row>
  </x:sheetData>
  <x:mergeCells>
    <x:mergeCell ref="A1:I1"/>
    <x:mergeCell ref="A2:I2"/>
  </x:mergeCells>
  <x:pageMargins left="0.7" right="0.7" top="0.75" bottom="0.75" header="0.3" footer="0.3"/>
</x:worksheet>
</file>